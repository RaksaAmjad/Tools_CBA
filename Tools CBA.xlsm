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wnloads\Semester 5\MITI\"/>
    </mc:Choice>
  </mc:AlternateContent>
  <xr:revisionPtr revIDLastSave="0" documentId="13_ncr:1_{D8A48EE2-7532-4990-A33B-3C2750887BA8}" xr6:coauthVersionLast="45" xr6:coauthVersionMax="45" xr10:uidLastSave="{00000000-0000-0000-0000-000000000000}"/>
  <bookViews>
    <workbookView xWindow="-120" yWindow="-120" windowWidth="20730" windowHeight="11160" xr2:uid="{D863A725-2D1A-4CE2-9421-B43F9BEF3C1B}"/>
  </bookViews>
  <sheets>
    <sheet name="Sheet3" sheetId="3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" l="1"/>
  <c r="D5" i="3" l="1"/>
  <c r="D6" i="3" s="1"/>
  <c r="C4" i="3"/>
  <c r="D14" i="3" s="1"/>
  <c r="F14" i="3" s="1"/>
  <c r="D15" i="3" l="1"/>
  <c r="F15" i="3" s="1"/>
  <c r="D7" i="3"/>
  <c r="D8" i="3" s="1"/>
  <c r="D9" i="3" s="1"/>
  <c r="D10" i="3" s="1"/>
  <c r="F13" i="3" l="1"/>
</calcChain>
</file>

<file path=xl/sharedStrings.xml><?xml version="1.0" encoding="utf-8"?>
<sst xmlns="http://schemas.openxmlformats.org/spreadsheetml/2006/main" count="12" uniqueCount="12">
  <si>
    <t>Tahun</t>
  </si>
  <si>
    <t>Payback Period</t>
  </si>
  <si>
    <t>Uang Investasi</t>
  </si>
  <si>
    <t>Tahun Investasi</t>
  </si>
  <si>
    <t>Keterangan</t>
  </si>
  <si>
    <t>NPV</t>
  </si>
  <si>
    <t>Aliran Kas</t>
  </si>
  <si>
    <t>Akumulatif Aliran Kas</t>
  </si>
  <si>
    <t>Interest Rate</t>
  </si>
  <si>
    <t>Nilai ke n</t>
  </si>
  <si>
    <t>IRR</t>
  </si>
  <si>
    <t>PERHITUNGAN COST BENEFIT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</si>
</sst>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Rp&quot;* #,##0_-;\-&quot;Rp&quot;* #,##0_-;_-&quot;Rp&quot;* &quot;-&quot;_-;_-@_-"/>
    <numFmt numFmtId="41" formatCode="_-* #,##0_-;\-* #,##0_-;_-* &quot;-&quot;_-;_-@_-"/>
    <numFmt numFmtId="164" formatCode="_-[$Rp-3809]* #,##0.00_-;\-[$Rp-3809]* #,##0.00_-;_-[$Rp-3809]* &quot;-&quot;??_-;_-@_-"/>
    <numFmt numFmtId="165" formatCode="General\ &quot;(Tahun)&quot;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4" fontId="0" fillId="0" borderId="1" xfId="1" applyNumberFormat="1" applyFont="1" applyBorder="1" applyAlignment="1">
      <alignment horizontal="center"/>
    </xf>
    <xf numFmtId="0" fontId="0" fillId="0" borderId="0" xfId="0" applyBorder="1" applyAlignment="1"/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0" borderId="1" xfId="0" applyFont="1" applyBorder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1" xfId="1" applyNumberFormat="1" applyFont="1" applyBorder="1"/>
    <xf numFmtId="9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3" fillId="0" borderId="0" xfId="0" applyFont="1" applyFill="1" applyAlignment="1">
      <alignment vertical="center"/>
    </xf>
    <xf numFmtId="0" fontId="0" fillId="0" borderId="0" xfId="0" applyFill="1"/>
    <xf numFmtId="9" fontId="0" fillId="0" borderId="1" xfId="2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3">
    <cellStyle name="Comma [0]" xfId="2" builtinId="6"/>
    <cellStyle name="Currency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10</xdr:row>
      <xdr:rowOff>57150</xdr:rowOff>
    </xdr:from>
    <xdr:to>
      <xdr:col>11</xdr:col>
      <xdr:colOff>38100</xdr:colOff>
      <xdr:row>13</xdr:row>
      <xdr:rowOff>19050</xdr:rowOff>
    </xdr:to>
    <xdr:sp macro="[0]!Alirankas" textlink="">
      <xdr:nvSpPr>
        <xdr:cNvPr id="17" name="Rectangle 16">
          <a:extLst>
            <a:ext uri="{FF2B5EF4-FFF2-40B4-BE49-F238E27FC236}">
              <a16:creationId xmlns:a16="http://schemas.microsoft.com/office/drawing/2014/main" id="{6471E03E-7FB8-420B-A3F6-28B9C39F1322}"/>
            </a:ext>
          </a:extLst>
        </xdr:cNvPr>
        <xdr:cNvSpPr/>
      </xdr:nvSpPr>
      <xdr:spPr>
        <a:xfrm>
          <a:off x="8972550" y="1962150"/>
          <a:ext cx="144780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>
              <a:latin typeface="Times New Roman" panose="02020603050405020304" pitchFamily="18" charset="0"/>
              <a:cs typeface="Times New Roman" panose="02020603050405020304" pitchFamily="18" charset="0"/>
            </a:rPr>
            <a:t>Aliran Kas</a:t>
          </a:r>
        </a:p>
      </xdr:txBody>
    </xdr:sp>
    <xdr:clientData/>
  </xdr:twoCellAnchor>
  <xdr:twoCellAnchor>
    <xdr:from>
      <xdr:col>11</xdr:col>
      <xdr:colOff>314325</xdr:colOff>
      <xdr:row>10</xdr:row>
      <xdr:rowOff>57150</xdr:rowOff>
    </xdr:from>
    <xdr:to>
      <xdr:col>13</xdr:col>
      <xdr:colOff>542325</xdr:colOff>
      <xdr:row>13</xdr:row>
      <xdr:rowOff>19050</xdr:rowOff>
    </xdr:to>
    <xdr:sp macro="[0]!masukan" textlink="">
      <xdr:nvSpPr>
        <xdr:cNvPr id="18" name="Rectangle 17">
          <a:extLst>
            <a:ext uri="{FF2B5EF4-FFF2-40B4-BE49-F238E27FC236}">
              <a16:creationId xmlns:a16="http://schemas.microsoft.com/office/drawing/2014/main" id="{B77CE3E0-FEE2-43AD-A671-4AE60CA03394}"/>
            </a:ext>
          </a:extLst>
        </xdr:cNvPr>
        <xdr:cNvSpPr/>
      </xdr:nvSpPr>
      <xdr:spPr>
        <a:xfrm>
          <a:off x="10696575" y="1962150"/>
          <a:ext cx="1447200" cy="5334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>
              <a:latin typeface="Times New Roman" panose="02020603050405020304" pitchFamily="18" charset="0"/>
              <a:cs typeface="Times New Roman" panose="02020603050405020304" pitchFamily="18" charset="0"/>
            </a:rPr>
            <a:t>Input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C659-0AF2-4576-A839-51BD2E198B50}">
  <sheetPr codeName="Sheet2"/>
  <dimension ref="A1:I15"/>
  <sheetViews>
    <sheetView tabSelected="1" workbookViewId="0">
      <selection activeCell="I7" sqref="I7"/>
    </sheetView>
  </sheetViews>
  <sheetFormatPr defaultRowHeight="15" x14ac:dyDescent="0.25"/>
  <cols>
    <col min="3" max="3" width="25.28515625" customWidth="1"/>
    <col min="4" max="4" width="28.140625" customWidth="1"/>
    <col min="6" max="6" width="15.42578125" customWidth="1"/>
    <col min="7" max="7" width="22.85546875" customWidth="1"/>
  </cols>
  <sheetData>
    <row r="1" spans="1:9" x14ac:dyDescent="0.25">
      <c r="A1" s="20" t="s">
        <v>11</v>
      </c>
      <c r="B1" s="20"/>
      <c r="C1" s="20"/>
      <c r="D1" s="20"/>
      <c r="E1" s="20"/>
      <c r="F1" s="20"/>
      <c r="G1" s="20"/>
      <c r="H1" s="17"/>
      <c r="I1" s="17"/>
    </row>
    <row r="2" spans="1:9" s="18" customFormat="1" x14ac:dyDescent="0.25">
      <c r="A2" s="17"/>
      <c r="B2" s="17"/>
      <c r="C2" s="17"/>
      <c r="D2" s="17"/>
      <c r="E2" s="17"/>
      <c r="F2" s="17"/>
      <c r="G2" s="17"/>
      <c r="H2" s="17"/>
      <c r="I2" s="17"/>
    </row>
    <row r="3" spans="1:9" x14ac:dyDescent="0.25">
      <c r="B3" s="6" t="s">
        <v>0</v>
      </c>
      <c r="C3" s="6" t="s">
        <v>6</v>
      </c>
      <c r="D3" s="6" t="s">
        <v>7</v>
      </c>
      <c r="E3" s="1"/>
      <c r="F3" s="5" t="s">
        <v>2</v>
      </c>
      <c r="G3" s="13">
        <v>700000000</v>
      </c>
    </row>
    <row r="4" spans="1:9" x14ac:dyDescent="0.25">
      <c r="B4" s="8">
        <v>0</v>
      </c>
      <c r="C4" s="3">
        <f>-G3</f>
        <v>-700000000</v>
      </c>
      <c r="D4" s="3"/>
      <c r="E4" s="1"/>
      <c r="F4" s="5" t="s">
        <v>3</v>
      </c>
      <c r="G4" s="10">
        <v>6</v>
      </c>
    </row>
    <row r="5" spans="1:9" x14ac:dyDescent="0.25">
      <c r="B5" s="8">
        <v>1</v>
      </c>
      <c r="C5" s="3">
        <v>100000000</v>
      </c>
      <c r="D5" s="3">
        <f>C5</f>
        <v>100000000</v>
      </c>
      <c r="E5" s="1"/>
      <c r="F5" s="5" t="s">
        <v>8</v>
      </c>
      <c r="G5" s="19">
        <v>0.1</v>
      </c>
    </row>
    <row r="6" spans="1:9" x14ac:dyDescent="0.25">
      <c r="B6" s="8">
        <v>2</v>
      </c>
      <c r="C6" s="3">
        <v>100000000</v>
      </c>
      <c r="D6" s="3">
        <f>C6+D5</f>
        <v>200000000</v>
      </c>
      <c r="E6" s="1"/>
      <c r="F6" s="4"/>
      <c r="G6" s="11"/>
    </row>
    <row r="7" spans="1:9" x14ac:dyDescent="0.25">
      <c r="B7" s="8">
        <v>3</v>
      </c>
      <c r="C7" s="3">
        <v>150000000</v>
      </c>
      <c r="D7" s="3">
        <f>C7+D6</f>
        <v>350000000</v>
      </c>
      <c r="E7" s="1"/>
      <c r="F7" s="5" t="s">
        <v>9</v>
      </c>
      <c r="G7" s="10">
        <v>5</v>
      </c>
    </row>
    <row r="8" spans="1:9" x14ac:dyDescent="0.25">
      <c r="B8" s="8">
        <v>4</v>
      </c>
      <c r="C8" s="3">
        <v>150000000</v>
      </c>
      <c r="D8" s="3">
        <f>C8+D7</f>
        <v>500000000</v>
      </c>
      <c r="E8" s="1"/>
    </row>
    <row r="9" spans="1:9" x14ac:dyDescent="0.25">
      <c r="B9" s="8">
        <v>5</v>
      </c>
      <c r="C9" s="3">
        <v>150000000</v>
      </c>
      <c r="D9" s="3">
        <f>C9+D8</f>
        <v>650000000</v>
      </c>
      <c r="E9" s="1"/>
    </row>
    <row r="10" spans="1:9" x14ac:dyDescent="0.25">
      <c r="B10" s="8">
        <v>6</v>
      </c>
      <c r="C10" s="14">
        <v>150000000</v>
      </c>
      <c r="D10" s="9">
        <f>C10+D9</f>
        <v>800000000</v>
      </c>
    </row>
    <row r="12" spans="1:9" x14ac:dyDescent="0.25">
      <c r="F12" s="7" t="s">
        <v>4</v>
      </c>
    </row>
    <row r="13" spans="1:9" x14ac:dyDescent="0.25">
      <c r="C13" s="7" t="s">
        <v>1</v>
      </c>
      <c r="D13" s="16">
        <f>IF(G7=5,G7+(G3-D9)/(D10-D9),IF(G7=4,G7+(G3-D8)/(D9-D8),IF(G7=3,G7+(G3-D7)/(D8-D7),IF(G7=2,G7+(G3-D6)/(D7-D6),IF(G7=1,G7+(G3-D5)/(D6-D5),IF(G7=0,(G3/C5)))))))</f>
        <v>5.333333333333333</v>
      </c>
      <c r="F13" s="2" t="str">
        <f>IF(G4&gt;D13,"Layak","Tidak Layak")</f>
        <v>Layak</v>
      </c>
    </row>
    <row r="14" spans="1:9" x14ac:dyDescent="0.25">
      <c r="C14" s="7" t="s">
        <v>5</v>
      </c>
      <c r="D14" s="12">
        <f>NPV(G5,C4:C10)</f>
        <v>-121352504.16799872</v>
      </c>
      <c r="F14" s="2" t="str">
        <f>IF(D14&gt;0,"Untung","Tidak Untung")</f>
        <v>Tidak Untung</v>
      </c>
    </row>
    <row r="15" spans="1:9" x14ac:dyDescent="0.25">
      <c r="C15" s="7" t="s">
        <v>10</v>
      </c>
      <c r="D15" s="15">
        <f>IRR(C4:C10)</f>
        <v>3.673499972828731E-2</v>
      </c>
      <c r="F15" s="2" t="str">
        <f>IF(D15&gt;G5,"Layak","Tidak Layak")</f>
        <v>Tidak Layak</v>
      </c>
    </row>
  </sheetData>
  <mergeCells count="1">
    <mergeCell ref="A1:G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2022-12-25T11:46:37Z</dcterms:created>
  <dcterms:modified xsi:type="dcterms:W3CDTF">2023-01-09T06:41:32Z</dcterms:modified>
</cp:coreProperties>
</file>